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Code\Python\llm-eval-framework\data\output\"/>
    </mc:Choice>
  </mc:AlternateContent>
  <xr:revisionPtr revIDLastSave="0" documentId="13_ncr:1_{7200A03A-A7BE-4259-9382-B22A5D71F806}" xr6:coauthVersionLast="47" xr6:coauthVersionMax="47" xr10:uidLastSave="{00000000-0000-0000-0000-000000000000}"/>
  <bookViews>
    <workbookView xWindow="-110" yWindow="-110" windowWidth="25820" windowHeight="13900" xr2:uid="{84B80F04-5653-4108-91CA-F876A9DD7BC7}"/>
  </bookViews>
  <sheets>
    <sheet name="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alcChain>
</file>

<file path=xl/sharedStrings.xml><?xml version="1.0" encoding="utf-8"?>
<sst xmlns="http://schemas.openxmlformats.org/spreadsheetml/2006/main" count="53" uniqueCount="51">
  <si>
    <t>id</t>
  </si>
  <si>
    <t>image_path</t>
  </si>
  <si>
    <t>input</t>
  </si>
  <si>
    <t>expected_output</t>
  </si>
  <si>
    <t>llm_answer</t>
  </si>
  <si>
    <t>分數</t>
  </si>
  <si>
    <t>原因</t>
  </si>
  <si>
    <t>5174.jpg</t>
  </si>
  <si>
    <t>請辨識並輸出「氧化鋅」條目下的化學定義與含量規定段落全文。</t>
  </si>
  <si>
    <t>好的，請看以下「氧化鋅」條目下的化學定義與含量規定段落全文：
**化學定義**
*   **化學名稱：** 氧化鋅 (Zinc Oxide)
*   **CAS 登錄號：** 1314-13-2
*   **化學式：** ZnO
*   **分子量：** 81.38
*   **結構式：** (請參考圖片，這裡無法顯示結構式)
*   **理化性質：**
    *   白色或類白色細粒粉末，無臭無味。
    *   熔點：1976℃
    *   沸點：2435℃
    *   密度：5.06 g/cm³
    *   溶於酸、溶於強鹼、微溶於水、不溶於醇。
    *   遇酸或加熱分解，放出ZnO煙霧。
    *   具有弱兩性。
    *   在潮濕空氣中，吸收二氧化碳生成碳酸鋅。
    *   光照下，可生成鋅和氧氣。
    *   與硫、硫化物、氨基化合物、肼及其鹽類混合，加熱可能引起爆炸。
    *   與強氧化劑混合，可能引起火災。
**含量規定**
*   **ZNO (氧化鋅)：** 不低於 99.0%
*   **As (砷)：** 不低於 10 ppm
*   **Cd (鎘)：** 不低於 2.0 ppm
*   **Pb (鉛)：** 不低於 20 ppm
*   **Hg (汞)：** 不低於 0.1 ppm
*   **Fe (鐵)：** 不低於 30 ppm
*   **其他重金屬 (以鋅計)：** 不低於 10 ppm
*   **不溶於鹽酸的物質：** 不低於 0.010%
*   **粒度：** 粒度過細的物質不得超過 10% (通過 150 目篩)
*   **水分：** 不超過 0.5%
*   **外觀：** 白色或類白色細粒粉末，無異味。</t>
  </si>
  <si>
    <t>5166.jpg</t>
  </si>
  <si>
    <t>請從圖片中找出「齊多夫定膠囊」的包裝與貯藏條件為何？</t>
  </si>
  <si>
    <t>好的，根據您提供的圖片，齊多夫定膠囊的包裝與貯藏條件如下：
**包裝：**
*   鋁塑泡罩包裝，每板 8 粒。
*   盒裝，每盒 2 板（16 粒）。
**貯藏：**
*   密封保存。
*   貯藏於陰涼、乾燥、避光處。
*   兒童不宜觸及。</t>
  </si>
  <si>
    <t>5171.jpg</t>
  </si>
  <si>
    <t>此藥品的鑑別試驗共有幾項？請列出各項試驗的名稱或主要檢驗項目。</t>
  </si>
  <si>
    <t>根據您提供的圖片，此藥品的鑑別試驗共有 **5 項**。
以下列出各項試驗的名稱或主要檢驗項目：
1.  **熔點試驗 (Melting Point Test)**：測定藥品的熔點範圍，與標準品比較。
2.  **薄層色譜法 (Thin Layer Chromatography, TLC)**：檢測藥品與標準品在薄層色譜中的 Rf 值是否一致。
3.  **紅外光譜法 (Infrared Spectroscopy)**：比較藥品與標準品的紅外光譜圖，確認其指紋圖譜是否一致。
4.  **高效液相色譜法 (High Performance Liquid Chromatography, HPLC)**：測定藥品與標準品在 HPLC 中的保留時間 (Retention Time) 是否一致。
5.  **比旋光度試驗 (Specific Rotation Test)**：測定藥品的比旋光度，與標準品比較。</t>
  </si>
  <si>
    <t>5175.jpg</t>
  </si>
  <si>
    <t>請摘要描述「氧化鋅調製糊劑」的製備步驟與方法。</t>
  </si>
  <si>
    <t>好的，根據您提供的圖片，以下是「氧化鋅調製糊劑」的製備步驟與方法摘要：
**一、 原料準備：**
1.  **氧化鋅粉末：** 準備足夠的氧化鋅粉末。
2.  **水：** 準備適量的水。
3.  **其他添加劑（可選）：** 根據需要，可以添加其他成分，例如：
    *   **增稠劑：** 如羧甲基纖維素鈉 (CMC) 等，用於調節糊劑的稠度。
    *   **分散劑：** 如聚萘二甲酸鈉鹽等，用於幫助氧化鋅分散。
    *   **防腐劑：** 如苯甲酸鈉等，用於防止細菌滋生。
    *   **其他添加劑：** 根據具體應用需求添加。
**二、 調製步驟：**
1.  **混合：** 將氧化鋅粉末和水按照一定的比例混合。
2.  **攪拌/研磨：** 使用攪拌機或研磨機，將混合物充分攪拌或研磨，使氧化鋅粉末均勻分散在水中，形成糊狀物。
3.  **添加添加劑（可選）：** 如果需要，在此步驟中加入增稠劑、分散劑、防腐劑等，並繼續攪拌均勻。
4.  **調節稠度：** 通過調整水和氧化鋅粉末的比例，或添加增稠劑，來調節糊劑的稠度，使其符合使用要求。
5.  **過濾（可選）：** 如果需要去除未分散的顆粒或雜質，可以使用過濾器過濾糊劑。
6.  **包裝：** 將調製好的氧化鋅糊劑包裝儲存。
**三、 注意事項：**
*   **比例：** 氧化鋅粉末與水的比例會影響糊劑的稠度和性能，需要根據實際需求調整。
*   **分散：** 確保氧化鋅粉末充分分散，避免結塊。
*   **均勻：** 攪拌或研磨要充分均勻，使糊劑的各部分性能一致。
*   **添加劑：** 添加劑的種類和用量會影響糊劑的性能，需要根據具體應用選擇。
*   **儲存：** 儲存在陰涼、乾燥、通風的地方，避免陽光直射和潮濕。
**總結：**
氧化鋅糊劑的製備主要包括準備原料、混合、攪拌/研磨、添加添加劑（可選）、調節稠度、過濾（可選）和包裝等步驟。 關鍵在於將氧化鋅粉末均勻分散在水中，並根據需要調整糊劑的性能。</t>
  </si>
  <si>
    <t>5176.jpg</t>
  </si>
  <si>
    <t>在含量測定中，加入酸液的目的是什麼？請根據段落上下文推論並解釋其化學意義。</t>
  </si>
  <si>
    <t>好的，我將根據您提供的段落上下文推論並解釋加入酸液的目的及其化學意義。
**段落內容摘要：**
這段文字描述了鋅含量測定的方法，主要涉及以下步驟：
1.  **樣品處理：** 將樣品（例如：鋅錠）研磨成粉末，然後用稀鹽酸溶解，以去除雜質並將鋅轉化為可溶性鹽類。
2.  **過量試劑處理：** 加入過量的碘化鉀溶液，以確保所有鋅離子都與碘離子反應。
3.  **滴定：** 使用硫代硫酸鈉溶液滴定過量的碘離子。
4.  **指示劑：** 使用澱粉溶液作為指示劑，指示滴定終點。
**問題：** 在含量測定中，加入酸液（稀鹽酸）的目的是什麼？
**推論與解釋：**
根據段落描述，加入稀鹽酸的目的主要有以下幾點：
1.  **溶解樣品：** 鋅錠等固體樣品通常難溶於水，需要酸來促進溶解。稀鹽酸與鋅反應生成可溶性的氯化鋅 (ZnCl₂) 和氫氣 (H₂)。
    *   化學方程式：Zn(s) + 2HCl(aq) → ZnCl₂(aq) + H₂(g)
2.  **去除雜質：** 樣品中可能含有不溶於酸的雜質，例如一些氧化物或不反應的金屬。稀鹽酸可以溶解鋅，同時留下這些不溶雜質，以便過濾去除，從而提高鋅含量的準確性。
3.  **提供酸性環境：** 後續步驟中使用了碘化鉀 (KI) 和硫代硫酸鈉 (Na₂S₂O₃)。酸性環境有助於碘離子 (I⁻) 的穩定存在，並確保碘離子與鋅離子反應的順利進行。
**總結：**
加入酸液（稀鹽酸）的主要目的是**溶解鋅樣品**、**去除雜質**，並**提供適宜的酸性反應環境**，以便後續的碘量法滴定分析準確進行。</t>
  </si>
  <si>
    <t>5167.jpg</t>
  </si>
  <si>
    <t>圖片中有一段文字描述「取本品適量，以流動相稀釋至每 1 mL 含 0.1 mg，注入液相層析儀...」，請判斷此段落屬於哪一個檢驗項目結構（例如：鑑別、含量測定、不純物檢查）？</t>
  </si>
  <si>
    <t>根據提供的文字描述「取本品適量，以流動相稀釋至每 1 mL 含 0.1 mg，注入液相層析儀...」，這段描述清楚地說明了如何準備樣品並使用液相層析儀進行分析。
*   **取本品適量：** 指的是取樣步驟。
*   **以流動相稀釋至每 1 mL 含 0.1 mg：** 指的是樣品製備步驟，將待測物質溶解或稀釋到特定濃度。
*   **注入液相層析儀：** 指的是使用儀器進行分析的步驟。
這些步驟的組合，通常用於**含量測定**或**相關物質測定**。目的是通過儀器分析，測量樣品中特定成分的含量或與特定成分相關的物質的量。
鑑別通常涉及物理性質、化學反應等判斷，不涉及儀器分析和濃度測量。不純物檢查也是通過儀器分析，但通常是為了確認不純物的存在和含量是否符合規定，而這段描述更像是針對主要成分的量化分析。
因此，最符合的檢驗項目結構是**含量測定**。</t>
  </si>
  <si>
    <t>請觀察圖片排版，說明「鑑別」與「含量測定」這兩個區塊在字體大小、縮排或標題格式上有何結構上的共通特徵？</t>
  </si>
  <si>
    <t>好的，我來分析圖片中「鑑別」與「含量測定」這兩個區塊的結構特徵：
**共通特徵：**
1.  **標題格式：** 兩個區塊的標題（「鑑別」和「含量測定」）都使用**粗體**，且字體大小一致，位於該區塊的開頭位置。
2.  **字體大小：** 兩個區塊的標題和正文內容的字體大小一致。
3.  **縮排：** 兩個區塊的正文內容都採用**縮排**的方式呈現，與區塊標題之間有明顯的間距，形成一個獨立的段落區塊。
4.  **結構：** 兩個區塊都包含一個標題，後面跟隨著詳細的描述性文字，說明該區塊涵蓋的主題。
**總結：**
「鑑別」和「含量測定」這兩個區塊在排版上都採用了相同的結構：**粗體標題 + 縮排正文**。 這種一致的排版風格有助於提高文件的可讀性，並清晰地分隔不同的內容主題。</t>
  </si>
  <si>
    <t>若某批氧化鋅原料重 1.500 g，依據含量測定下限（99.0%），其中純的 ZnO 重量至少應為多少克？請計算出結果並附上單位。</t>
  </si>
  <si>
    <t>好的，我們來計算一下。
題目給定的資訊：
*   氧化鋅原料總重：1.500 g
*   含量測定下限：99.0%
題目要求：
*   計算其中純的 ZnO 的最小重量。
計算步驟：
1.  **將含量百分比轉換為小數：** 99.0% = 99.0 / 100 = 0.99
2.  **計算純 ZnO 的最小重量：** 將原料總重乘以純度的小數值。
    *   純 ZnO 最小重量 = 1.500 g * 0.99 = 1.485 g
因此，若某批氧化鋅原料重 1.500 g，依據含量測定下限（99.0%），其中純的 ZnO 重量至少應為 **1.485 g**。</t>
  </si>
  <si>
    <t>5188.jpg;5189.jpg</t>
  </si>
  <si>
    <t>綜合原料藥（P.5042）與錠劑（P.5043）的含量測定規定：若取得標示量為 10 mg 的錠劑 1 粒，且該錠劑的含量符合其自身的檢驗下限（90.0%），則這 1 粒錠劑中實際含有的純「唑匹淀酒石酸鹽」最少為幾毫克？</t>
  </si>
  <si>
    <t>根據提供的資料，我們可以計算出 1 粒標示量為 10 mg 的錠劑中，純「唑匹淀酒石酸鹽」的最少含量。
1.  **檢驗下限 (LOQ):** 題目中提到，如果取得標示量為 10 mg 的錠劑 1 粒，且該錠劑的含量符合其自身的檢驗下限 (90.0%)，則計算其含量。
2.  **含量符合檢驗下限的條件:** 含量符合檢驗下限 (90.0%) 表示實際含量至少是標示量的 90.0%。
3.  **計算實際含量:**
    *   標示量 = 10 mg
    *   檢驗下限 = 90.0% = 0.90
    *   實際含量 (最少) = 標示量 × 檢驗下限 = 10 mg × 0.90 = 9 mg
因此，如果 1 粒標示量為 10 mg 的錠劑的含量符合其自身的檢驗下限 (90.0%)，則這 1 粒錠劑中實際含有的純「唑匹淀酒石酸鹽」最少為 **9 毫克**。</t>
  </si>
  <si>
    <t>LLM正確理解了題意與藥典中錠劑含量規定的邏輯。錠劑含量下限90.0%代表實際含有主成分的量最少為標示量的90.0%，因此 10 mg * 90.0% = 9 mg，計算過程與結果均正確無誤。</t>
  </si>
  <si>
    <t>LLM嚴格遵循了題目給定的假設條件（含量測定下限為 99.0%），並據此正確計算出 1.500 g * 99.0% = 1.485 g。雖然原圖中氧化鋅的下限為98.0%，但LLM針對Prompt中的假設情境給出了正確的數學計算與單位。</t>
  </si>
  <si>
    <t>LLM準確觀察並歸納了圖片中藥典排版的結構特徵，正確指出了「鑑別」與「含量測定」區塊皆採用了「標題粗體」以及「正文縮排」的共通排版方式，分析清晰且符合圖片實際狀況。</t>
  </si>
  <si>
    <t>LLM能夠根據題目提供的文字特徵（取樣、定量稀釋至特定濃度、注入分析儀器）進行合理的邏輯推論，正確判斷出這種將樣品配製成特定濃度供儀器分析的步驟特徵，最符合「含量測定」的檢驗項目結構。</t>
  </si>
  <si>
    <t>LLM的回答基於錯誤的幻覺假設。圖片中相關的鋅鹽含量測定使用的是酸來溶解/分解樣品，後續使用EDTA進行錯合滴定。LLM卻錯誤推論為「碘量法」滴定，並捏造了產生氫氣、加入碘化鉀與硫代硫酸鈉等與圖片內容完全不符的化學反應過程。</t>
  </si>
  <si>
    <t>LLM的回答錯誤且充滿幻覺。圖片中「氧化鋅調製糊劑」的製法非常簡單，僅為將三種成分「混勻，即得」。LLM卻捏造了加水、加入增稠劑/防腐劑、過濾等完全不存在於文獻中的步驟。</t>
  </si>
  <si>
    <t>LLM的回應完全是幻覺。圖片中任何藥品的「鑑別」段落皆未列出LLM所提供的這五項特定試驗組合。模型未依據圖片內容回答，而是自行套用了通用的化學分析知識。</t>
  </si>
  <si>
    <t>LLM的回應屬於幻覺。根據圖片（P.5020）內容，「齊多夫定膠囊」的包裝與儲存規定僅有「本品應置於緊密阻光容器內貯之」，LLM卻憑空捏造了「鋁塑泡罩包裝」、「盒裝」、「兒童不宜觸及」等圖片中不存在的資訊。</t>
  </si>
  <si>
    <t>LLM的回應完全是幻覺。它並未從提供的圖片中擷取「氧化鋅」的段落內容，而是憑空捏造了不符合藥典內容的物理化學性質（如熔點、沸點）以及錯誤的含量規定數值（圖片中含量下限為98.0%，LLM卻回答99.0%），完全偏離圖片事實。</t>
  </si>
  <si>
    <t>應輸出圖片中氧化鋅的分子量(81.38)、化學物質登錄碼(1314-13-2)以及含量測定段落的實際文字(如本品所含氧化鋅按熾灼物計算應為98.0~102.0%等)。</t>
  </si>
  <si>
    <t>本品應置於緊密阻光容器內貯之。</t>
  </si>
  <si>
    <t>應如實列出圖片中「鑑別」段落下的具體項目與反應描述，而非憑空列舉通用的儀器分析法。</t>
  </si>
  <si>
    <t>將氧化鋅(250g)、澱粉(250g)、白軟石蠟(500g)混勻，即得。</t>
  </si>
  <si>
    <t>根據圖片中類似藥品(如硬脂酸鋅)的測定方法，加入硫酸等酸液的目的是為了分解樣品(如使硬脂酸游離)並使鋅離子溶解於水相中，以便後續進行EDTA錯合滴定。</t>
  </si>
  <si>
    <t>含量測定</t>
  </si>
  <si>
    <t>兩者的區塊標題皆使用粗體字型，且其下方的內文段落皆採用了縮排格式。</t>
  </si>
  <si>
    <t>1.485 g</t>
  </si>
  <si>
    <t>9 mg</t>
  </si>
  <si>
    <t>平均</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</si>
</sst>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b/>
      <sz val="12"/>
      <color theme="1"/>
      <name val="新細明體"/>
      <family val="1"/>
      <charset val="136"/>
      <scheme val="minor"/>
    </font>
    <font>
      <b/>
      <sz val="16"/>
      <color theme="1"/>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0" fillId="0" borderId="10" xfId="0" applyBorder="1" applyAlignment="1">
      <alignment vertical="top" wrapText="1"/>
    </xf>
    <xf numFmtId="0" fontId="0" fillId="0" borderId="10" xfId="0" applyBorder="1" applyAlignment="1">
      <alignment horizontal="left" vertical="top" wrapText="1"/>
    </xf>
    <xf numFmtId="0" fontId="19" fillId="0" borderId="10" xfId="0" applyFont="1" applyBorder="1" applyAlignment="1">
      <alignment horizontal="right" vertical="top" wrapText="1"/>
    </xf>
    <xf numFmtId="0" fontId="19" fillId="0" borderId="10" xfId="0" applyFont="1" applyBorder="1" applyAlignment="1">
      <alignment horizontal="left" vertical="top" wrapText="1"/>
    </xf>
    <xf numFmtId="0" fontId="20" fillId="0" borderId="10" xfId="0" applyFont="1" applyBorder="1" applyAlignment="1">
      <alignment horizontal="center"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B4DE-FB82-4964-B729-209CB9EEFCF1}">
  <dimension ref="A1:G11"/>
  <sheetViews>
    <sheetView tabSelected="1" zoomScale="85" zoomScaleNormal="85" workbookViewId="0">
      <selection activeCell="G2" sqref="G2"/>
    </sheetView>
  </sheetViews>
  <sheetFormatPr defaultRowHeight="17" x14ac:dyDescent="0.4"/>
  <cols>
    <col min="2" max="2" width="17.54296875" customWidth="1"/>
    <col min="3" max="3" width="16" customWidth="1"/>
    <col min="4" max="4" width="35.36328125" style="1" customWidth="1"/>
    <col min="5" max="5" width="55.6328125" customWidth="1"/>
    <col min="6" max="6" width="12" bestFit="1" customWidth="1"/>
    <col min="7" max="7" width="30" customWidth="1"/>
  </cols>
  <sheetData>
    <row r="1" spans="1:7" ht="70" customHeight="1" x14ac:dyDescent="0.4">
      <c r="A1" s="6" t="s">
        <v>0</v>
      </c>
      <c r="B1" s="6" t="s">
        <v>1</v>
      </c>
      <c r="C1" s="6" t="s">
        <v>2</v>
      </c>
      <c r="D1" s="6" t="s">
        <v>3</v>
      </c>
      <c r="E1" s="6" t="s">
        <v>4</v>
      </c>
      <c r="F1" s="6" t="s">
        <v>5</v>
      </c>
      <c r="G1" s="6" t="s">
        <v>6</v>
      </c>
    </row>
    <row r="2" spans="1:7" ht="409.5" x14ac:dyDescent="0.4">
      <c r="A2" s="3">
        <v>1</v>
      </c>
      <c r="B2" s="3" t="s">
        <v>7</v>
      </c>
      <c r="C2" s="3" t="s">
        <v>8</v>
      </c>
      <c r="D2" s="2" t="s">
        <v>41</v>
      </c>
      <c r="E2" s="3" t="s">
        <v>9</v>
      </c>
      <c r="F2" s="3">
        <v>0</v>
      </c>
      <c r="G2" s="3" t="s">
        <v>40</v>
      </c>
    </row>
    <row r="3" spans="1:7" ht="187" x14ac:dyDescent="0.4">
      <c r="A3" s="3">
        <v>2</v>
      </c>
      <c r="B3" s="3" t="s">
        <v>10</v>
      </c>
      <c r="C3" s="3" t="s">
        <v>11</v>
      </c>
      <c r="D3" s="2" t="s">
        <v>42</v>
      </c>
      <c r="E3" s="3" t="s">
        <v>12</v>
      </c>
      <c r="F3" s="3">
        <v>0</v>
      </c>
      <c r="G3" s="3" t="s">
        <v>39</v>
      </c>
    </row>
    <row r="4" spans="1:7" ht="255" x14ac:dyDescent="0.4">
      <c r="A4" s="3">
        <v>3</v>
      </c>
      <c r="B4" s="3" t="s">
        <v>13</v>
      </c>
      <c r="C4" s="3" t="s">
        <v>14</v>
      </c>
      <c r="D4" s="2" t="s">
        <v>43</v>
      </c>
      <c r="E4" s="3" t="s">
        <v>15</v>
      </c>
      <c r="F4" s="3">
        <v>0</v>
      </c>
      <c r="G4" s="3" t="s">
        <v>38</v>
      </c>
    </row>
    <row r="5" spans="1:7" ht="409.5" x14ac:dyDescent="0.4">
      <c r="A5" s="3">
        <v>4</v>
      </c>
      <c r="B5" s="3" t="s">
        <v>16</v>
      </c>
      <c r="C5" s="3" t="s">
        <v>17</v>
      </c>
      <c r="D5" s="2" t="s">
        <v>44</v>
      </c>
      <c r="E5" s="3" t="s">
        <v>18</v>
      </c>
      <c r="F5" s="3">
        <v>0</v>
      </c>
      <c r="G5" s="3" t="s">
        <v>37</v>
      </c>
    </row>
    <row r="6" spans="1:7" ht="409.5" x14ac:dyDescent="0.4">
      <c r="A6" s="3">
        <v>5</v>
      </c>
      <c r="B6" s="3" t="s">
        <v>19</v>
      </c>
      <c r="C6" s="3" t="s">
        <v>20</v>
      </c>
      <c r="D6" s="2" t="s">
        <v>45</v>
      </c>
      <c r="E6" s="3" t="s">
        <v>21</v>
      </c>
      <c r="F6" s="3">
        <v>0</v>
      </c>
      <c r="G6" s="3" t="s">
        <v>36</v>
      </c>
    </row>
    <row r="7" spans="1:7" ht="340" x14ac:dyDescent="0.4">
      <c r="A7" s="3">
        <v>6</v>
      </c>
      <c r="B7" s="3" t="s">
        <v>22</v>
      </c>
      <c r="C7" s="3" t="s">
        <v>23</v>
      </c>
      <c r="D7" s="2" t="s">
        <v>46</v>
      </c>
      <c r="E7" s="3" t="s">
        <v>24</v>
      </c>
      <c r="F7" s="3">
        <v>90</v>
      </c>
      <c r="G7" s="3" t="s">
        <v>35</v>
      </c>
    </row>
    <row r="8" spans="1:7" ht="374" x14ac:dyDescent="0.4">
      <c r="A8" s="3">
        <v>7</v>
      </c>
      <c r="B8" s="3" t="s">
        <v>7</v>
      </c>
      <c r="C8" s="3" t="s">
        <v>25</v>
      </c>
      <c r="D8" s="2" t="s">
        <v>47</v>
      </c>
      <c r="E8" s="3" t="s">
        <v>26</v>
      </c>
      <c r="F8" s="3">
        <v>100</v>
      </c>
      <c r="G8" s="3" t="s">
        <v>34</v>
      </c>
    </row>
    <row r="9" spans="1:7" ht="289" x14ac:dyDescent="0.4">
      <c r="A9" s="3">
        <v>8</v>
      </c>
      <c r="B9" s="3" t="s">
        <v>7</v>
      </c>
      <c r="C9" s="3" t="s">
        <v>27</v>
      </c>
      <c r="D9" s="2" t="s">
        <v>48</v>
      </c>
      <c r="E9" s="3" t="s">
        <v>28</v>
      </c>
      <c r="F9" s="3">
        <v>100</v>
      </c>
      <c r="G9" s="3" t="s">
        <v>33</v>
      </c>
    </row>
    <row r="10" spans="1:7" ht="289" x14ac:dyDescent="0.4">
      <c r="A10" s="3">
        <v>9</v>
      </c>
      <c r="B10" s="3" t="s">
        <v>29</v>
      </c>
      <c r="C10" s="3" t="s">
        <v>30</v>
      </c>
      <c r="D10" s="2" t="s">
        <v>49</v>
      </c>
      <c r="E10" s="3" t="s">
        <v>31</v>
      </c>
      <c r="F10" s="3">
        <v>100</v>
      </c>
      <c r="G10" s="3" t="s">
        <v>32</v>
      </c>
    </row>
    <row r="11" spans="1:7" x14ac:dyDescent="0.4">
      <c r="A11" s="3"/>
      <c r="B11" s="3"/>
      <c r="C11" s="3"/>
      <c r="D11" s="2"/>
      <c r="E11" s="4" t="s">
        <v>50</v>
      </c>
      <c r="F11" s="5">
        <f>AVERAGE(F2:F10)</f>
        <v>43.333333333333336</v>
      </c>
      <c r="G11" s="3"/>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連峻緯</cp:lastModifiedBy>
  <dcterms:created xsi:type="dcterms:W3CDTF">2026-04-25T08:19:55Z</dcterms:created>
  <dcterms:modified xsi:type="dcterms:W3CDTF">2026-04-25T08:22:20Z</dcterms:modified>
</cp:coreProperties>
</file>